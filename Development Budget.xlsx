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iss\Desktop\AREP\Lean (post agile) Planning and Budgeting Strategies\"/>
    </mc:Choice>
  </mc:AlternateContent>
  <xr:revisionPtr revIDLastSave="0" documentId="13_ncr:1_{484FCB28-CB18-4003-B8EB-DA90C8B2F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  <sheet name="Presupues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4" i="2"/>
  <c r="D15" i="2"/>
  <c r="D10" i="2"/>
  <c r="C30" i="2"/>
  <c r="C25" i="2"/>
  <c r="E30" i="2" s="1"/>
  <c r="E20" i="1"/>
  <c r="D16" i="2" l="1"/>
  <c r="E29" i="2" s="1"/>
  <c r="E31" i="2" s="1"/>
  <c r="D30" i="2"/>
  <c r="D29" i="2" l="1"/>
  <c r="C29" i="2"/>
  <c r="C31" i="2" s="1"/>
  <c r="D31" i="2"/>
</calcChain>
</file>

<file path=xl/sharedStrings.xml><?xml version="1.0" encoding="utf-8"?>
<sst xmlns="http://schemas.openxmlformats.org/spreadsheetml/2006/main" count="148" uniqueCount="123">
  <si>
    <t>Product Backlog - Plataforma de Gestión de Solicitudes Ciudadanas</t>
  </si>
  <si>
    <t>Épica</t>
  </si>
  <si>
    <t>ID Historia</t>
  </si>
  <si>
    <t>Historia de usuario</t>
  </si>
  <si>
    <t>Criterio de aceptación</t>
  </si>
  <si>
    <t>Story Points</t>
  </si>
  <si>
    <t>Prioridad</t>
  </si>
  <si>
    <t>Sprint</t>
  </si>
  <si>
    <t>E1</t>
  </si>
  <si>
    <t>US-01</t>
  </si>
  <si>
    <t>Como ciudadano quiero registrarme con mi cédula y correo para acceder al portal.</t>
  </si>
  <si>
    <t>Validación de cédula, correo único, confirmación por email.</t>
  </si>
  <si>
    <t>Alta</t>
  </si>
  <si>
    <t>US-02</t>
  </si>
  <si>
    <t>Como ciudadano quiero radicar una solicitud indicando tipo, descripción y ubicación.</t>
  </si>
  <si>
    <t>Formulario con categorías, geolocalización opcional, número de radicado automático.</t>
  </si>
  <si>
    <t>US-03</t>
  </si>
  <si>
    <t>Como ciudadano quiero adjuntar fotos o documentos a mi solicitud.</t>
  </si>
  <si>
    <t>Archivos hasta 10 MB, formatos jpg, png y pdf.</t>
  </si>
  <si>
    <t>US-04</t>
  </si>
  <si>
    <t>Como ciudadano quiero consultar el estado de mis solicitudes en tiempo real.</t>
  </si>
  <si>
    <t>Vista con historial de estados, fechas y responsable asignado.</t>
  </si>
  <si>
    <t>US-05</t>
  </si>
  <si>
    <t>Como ciudadano quiero recibir notificaciones por email y SMS al cambiar el estado.</t>
  </si>
  <si>
    <t>Notificación automática en cada cambio con enlace de seguimiento.</t>
  </si>
  <si>
    <t>E2</t>
  </si>
  <si>
    <t>US-06</t>
  </si>
  <si>
    <t>Como administrador quiero ver el listado de solicitudes con filtros por estado, tipo y dependencia.</t>
  </si>
  <si>
    <t>Tabla paginada con filtros funcionales y exportación a Excel.</t>
  </si>
  <si>
    <t>US-07</t>
  </si>
  <si>
    <t>Como administrador quiero asignar una solicitud a un departamento responsable.</t>
  </si>
  <si>
    <t>Menú de asignación, notificación al departamento, trazabilidad en el log.</t>
  </si>
  <si>
    <t>US-08</t>
  </si>
  <si>
    <t>Como administrador quiero actualizar el estado de una solicitud y agregar comentarios.</t>
  </si>
  <si>
    <t>Estados: recibida, en proceso, resuelta, rechazada. Log de cambios visible.</t>
  </si>
  <si>
    <t>US-09</t>
  </si>
  <si>
    <t>Como administrador quiero ver el tiempo desde la radicación para identificar solicitudes vencidas.</t>
  </si>
  <si>
    <t>Indicador visual de SLA con alertas para solicitudes que superen el tiempo límite.</t>
  </si>
  <si>
    <t>E3</t>
  </si>
  <si>
    <t>US-10</t>
  </si>
  <si>
    <t>Como funcionario quiero acceder al sistema con mi cuenta institucional mediante SSO.</t>
  </si>
  <si>
    <t>Login con OAuth2/LDAP sin contraseña adicional en el portal.</t>
  </si>
  <si>
    <t>Media-Alta</t>
  </si>
  <si>
    <t>US-11</t>
  </si>
  <si>
    <t>Como superadmin quiero crear roles y asignarlos a usuarios del sistema.</t>
  </si>
  <si>
    <t>Roles: ciudadano, operador, supervisor, superadmin. CRUD con log de asignaciones.</t>
  </si>
  <si>
    <t>US-12</t>
  </si>
  <si>
    <t>Como ciudadano quiero recuperar mi contraseña por correo electrónico.</t>
  </si>
  <si>
    <t>Enlace de restablecimiento con expiración de una hora.</t>
  </si>
  <si>
    <t>E4</t>
  </si>
  <si>
    <t>US-13</t>
  </si>
  <si>
    <t>Como supervisor quiero ver un dashboard con KPIs de solicitudes por estado y tiempo de resolución.</t>
  </si>
  <si>
    <t>Gráficas de barras y torta, actualización diaria, filtros por fechas.</t>
  </si>
  <si>
    <t>Media</t>
  </si>
  <si>
    <t>US-14</t>
  </si>
  <si>
    <t>Como supervisor quiero exportar reportes en PDF y Excel por rango de fechas.</t>
  </si>
  <si>
    <t>Exportación funcional en ambos formatos con logo municipal.</t>
  </si>
  <si>
    <t>US-15</t>
  </si>
  <si>
    <t>Como administrador quiero ver un ranking de dependencias por tiempo de respuesta.</t>
  </si>
  <si>
    <t>Tabla ordenable con colores por cumplimiento del SLA.</t>
  </si>
  <si>
    <t>E5</t>
  </si>
  <si>
    <t>US-16</t>
  </si>
  <si>
    <t>Como ciudadano quiero enviar mensajes al funcionario asignado a mi solicitud.</t>
  </si>
  <si>
    <t>Hilo de mensajes por solicitud, notificación al funcionario por email.</t>
  </si>
  <si>
    <t>Media-Baja</t>
  </si>
  <si>
    <t>US-17</t>
  </si>
  <si>
    <t>Como operador quiero responder mensajes del ciudadano y adjuntar documentos.</t>
  </si>
  <si>
    <t>Respuesta con adjuntos visible en el portal, notificación al ciudadano.</t>
  </si>
  <si>
    <t>Total Story Points</t>
  </si>
  <si>
    <t>Presupuesto de Desarrollo - Plataforma Ciudadana</t>
  </si>
  <si>
    <t>Supuestos</t>
  </si>
  <si>
    <t>Total Story Points del backlog</t>
  </si>
  <si>
    <t>131 SP</t>
  </si>
  <si>
    <t>Velocidad del equipo por sprint</t>
  </si>
  <si>
    <t>33 SP / sprint</t>
  </si>
  <si>
    <t>Duración de cada sprint</t>
  </si>
  <si>
    <t>2 semanas</t>
  </si>
  <si>
    <t>Número de sprints estimados</t>
  </si>
  <si>
    <t>4 sprints</t>
  </si>
  <si>
    <t>Duración total del proyecto</t>
  </si>
  <si>
    <t>~2 meses</t>
  </si>
  <si>
    <t>Equipo y costo por sprint</t>
  </si>
  <si>
    <t>Rol</t>
  </si>
  <si>
    <t>Cantidad</t>
  </si>
  <si>
    <t>Salario mensual (COP)</t>
  </si>
  <si>
    <t>Costo por sprint (COP)</t>
  </si>
  <si>
    <t>Observación</t>
  </si>
  <si>
    <t>Tech Lead / Arquitecto</t>
  </si>
  <si>
    <t>Lidera decisiones técnicas</t>
  </si>
  <si>
    <t>Desarrollador Backend (Java)</t>
  </si>
  <si>
    <t>Microservicios Spring Boot</t>
  </si>
  <si>
    <t>Desarrollador Frontend (React)</t>
  </si>
  <si>
    <t>Portal ciudadano y admin</t>
  </si>
  <si>
    <t>QA / Tester</t>
  </si>
  <si>
    <t>Pruebas funcionales</t>
  </si>
  <si>
    <t>Project Manager</t>
  </si>
  <si>
    <t>Gestión y seguimiento</t>
  </si>
  <si>
    <t>Diseñador UX/UI</t>
  </si>
  <si>
    <t>Primeros 2 sprints</t>
  </si>
  <si>
    <t>Costo total por sprint</t>
  </si>
  <si>
    <t>Infraestructura y servicios (mensual)</t>
  </si>
  <si>
    <t>Servicio</t>
  </si>
  <si>
    <t>Proveedor</t>
  </si>
  <si>
    <t>Costo mensual (COP)</t>
  </si>
  <si>
    <t>Cloud hosting (servidores)</t>
  </si>
  <si>
    <t>AWS / GCP</t>
  </si>
  <si>
    <t>Base de datos PostgreSQL</t>
  </si>
  <si>
    <t>AWS RDS</t>
  </si>
  <si>
    <t>Almacenamiento de archivos</t>
  </si>
  <si>
    <t>AWS S3</t>
  </si>
  <si>
    <t>Email transaccional</t>
  </si>
  <si>
    <t>SendGrid</t>
  </si>
  <si>
    <t>SMS notificaciones</t>
  </si>
  <si>
    <t>Twilio</t>
  </si>
  <si>
    <t>Total infraestructura/mes</t>
  </si>
  <si>
    <t>Presupuesto total del proyecto</t>
  </si>
  <si>
    <t>Concepto</t>
  </si>
  <si>
    <t>Valor (COP)</t>
  </si>
  <si>
    <t>Rango mínimo</t>
  </si>
  <si>
    <t>Rango máximo</t>
  </si>
  <si>
    <t>Costo equipo (4 sprints)</t>
  </si>
  <si>
    <t>Infraestructura (2 meses)</t>
  </si>
  <si>
    <t>TOTAL ESTIMADO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</si>
</sst>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2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CEEF"/>
      </patternFill>
    </fill>
    <fill>
      <patternFill patternType="solid">
        <fgColor rgb="FFFFD966"/>
      </patternFill>
    </fill>
    <fill>
      <patternFill patternType="solid">
        <fgColor rgb="FFDEEAF1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righ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0" fillId="8" borderId="1" xfId="0" applyFill="1" applyBorder="1" applyAlignment="1">
      <alignment wrapText="1"/>
    </xf>
    <xf numFmtId="164" fontId="4" fillId="8" borderId="1" xfId="0" applyNumberFormat="1" applyFont="1" applyFill="1" applyBorder="1" applyAlignment="1">
      <alignment horizontal="right" vertical="center" wrapText="1"/>
    </xf>
    <xf numFmtId="0" fontId="0" fillId="8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5" fillId="13" borderId="1" xfId="0" applyFont="1" applyFill="1" applyBorder="1" applyAlignment="1">
      <alignment horizontal="right" vertical="center" wrapText="1"/>
    </xf>
    <xf numFmtId="0" fontId="0" fillId="13" borderId="1" xfId="0" applyFill="1" applyBorder="1" applyAlignment="1">
      <alignment wrapText="1"/>
    </xf>
    <xf numFmtId="164" fontId="5" fillId="13" borderId="1" xfId="0" applyNumberFormat="1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2" topLeftCell="A16" activePane="bottomLeft" state="frozen"/>
      <selection pane="bottomLeft" activeCell="H5" sqref="H5"/>
    </sheetView>
  </sheetViews>
  <sheetFormatPr baseColWidth="10" defaultColWidth="9.140625" defaultRowHeight="15" x14ac:dyDescent="0.25"/>
  <cols>
    <col min="1" max="2" width="12" customWidth="1"/>
    <col min="3" max="4" width="45" customWidth="1"/>
    <col min="5" max="6" width="12" customWidth="1"/>
    <col min="7" max="7" width="8" customWidth="1"/>
  </cols>
  <sheetData>
    <row r="1" spans="1:7" ht="21.9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50.1" customHeight="1" x14ac:dyDescent="0.25">
      <c r="A3" s="39" t="s">
        <v>8</v>
      </c>
      <c r="B3" s="39" t="s">
        <v>9</v>
      </c>
      <c r="C3" s="2" t="s">
        <v>10</v>
      </c>
      <c r="D3" s="2" t="s">
        <v>11</v>
      </c>
      <c r="E3" s="39">
        <v>5</v>
      </c>
      <c r="F3" s="39" t="s">
        <v>12</v>
      </c>
      <c r="G3" s="39">
        <v>1</v>
      </c>
    </row>
    <row r="4" spans="1:7" ht="50.1" customHeight="1" x14ac:dyDescent="0.25">
      <c r="A4" s="39" t="s">
        <v>8</v>
      </c>
      <c r="B4" s="39" t="s">
        <v>13</v>
      </c>
      <c r="C4" s="2" t="s">
        <v>14</v>
      </c>
      <c r="D4" s="2" t="s">
        <v>15</v>
      </c>
      <c r="E4" s="39">
        <v>8</v>
      </c>
      <c r="F4" s="39" t="s">
        <v>12</v>
      </c>
      <c r="G4" s="39">
        <v>1</v>
      </c>
    </row>
    <row r="5" spans="1:7" ht="50.1" customHeight="1" x14ac:dyDescent="0.25">
      <c r="A5" s="39" t="s">
        <v>8</v>
      </c>
      <c r="B5" s="39" t="s">
        <v>16</v>
      </c>
      <c r="C5" s="2" t="s">
        <v>17</v>
      </c>
      <c r="D5" s="2" t="s">
        <v>18</v>
      </c>
      <c r="E5" s="39">
        <v>5</v>
      </c>
      <c r="F5" s="39" t="s">
        <v>12</v>
      </c>
      <c r="G5" s="39">
        <v>1</v>
      </c>
    </row>
    <row r="6" spans="1:7" ht="50.1" customHeight="1" x14ac:dyDescent="0.25">
      <c r="A6" s="39" t="s">
        <v>8</v>
      </c>
      <c r="B6" s="39" t="s">
        <v>19</v>
      </c>
      <c r="C6" s="2" t="s">
        <v>20</v>
      </c>
      <c r="D6" s="2" t="s">
        <v>21</v>
      </c>
      <c r="E6" s="39">
        <v>8</v>
      </c>
      <c r="F6" s="39" t="s">
        <v>12</v>
      </c>
      <c r="G6" s="39">
        <v>1</v>
      </c>
    </row>
    <row r="7" spans="1:7" ht="50.1" customHeight="1" x14ac:dyDescent="0.25">
      <c r="A7" s="39" t="s">
        <v>8</v>
      </c>
      <c r="B7" s="39" t="s">
        <v>22</v>
      </c>
      <c r="C7" s="2" t="s">
        <v>23</v>
      </c>
      <c r="D7" s="2" t="s">
        <v>24</v>
      </c>
      <c r="E7" s="39">
        <v>8</v>
      </c>
      <c r="F7" s="39" t="s">
        <v>12</v>
      </c>
      <c r="G7" s="39">
        <v>1</v>
      </c>
    </row>
    <row r="8" spans="1:7" ht="50.1" customHeight="1" x14ac:dyDescent="0.25">
      <c r="A8" s="40" t="s">
        <v>25</v>
      </c>
      <c r="B8" s="40" t="s">
        <v>26</v>
      </c>
      <c r="C8" s="3" t="s">
        <v>27</v>
      </c>
      <c r="D8" s="3" t="s">
        <v>28</v>
      </c>
      <c r="E8" s="40">
        <v>8</v>
      </c>
      <c r="F8" s="40" t="s">
        <v>12</v>
      </c>
      <c r="G8" s="40">
        <v>2</v>
      </c>
    </row>
    <row r="9" spans="1:7" ht="50.1" customHeight="1" x14ac:dyDescent="0.25">
      <c r="A9" s="40" t="s">
        <v>25</v>
      </c>
      <c r="B9" s="40" t="s">
        <v>29</v>
      </c>
      <c r="C9" s="3" t="s">
        <v>30</v>
      </c>
      <c r="D9" s="3" t="s">
        <v>31</v>
      </c>
      <c r="E9" s="40">
        <v>5</v>
      </c>
      <c r="F9" s="40" t="s">
        <v>12</v>
      </c>
      <c r="G9" s="40">
        <v>2</v>
      </c>
    </row>
    <row r="10" spans="1:7" ht="50.1" customHeight="1" x14ac:dyDescent="0.25">
      <c r="A10" s="40" t="s">
        <v>25</v>
      </c>
      <c r="B10" s="40" t="s">
        <v>32</v>
      </c>
      <c r="C10" s="3" t="s">
        <v>33</v>
      </c>
      <c r="D10" s="3" t="s">
        <v>34</v>
      </c>
      <c r="E10" s="40">
        <v>8</v>
      </c>
      <c r="F10" s="40" t="s">
        <v>12</v>
      </c>
      <c r="G10" s="40">
        <v>2</v>
      </c>
    </row>
    <row r="11" spans="1:7" ht="50.1" customHeight="1" x14ac:dyDescent="0.25">
      <c r="A11" s="40" t="s">
        <v>25</v>
      </c>
      <c r="B11" s="40" t="s">
        <v>35</v>
      </c>
      <c r="C11" s="3" t="s">
        <v>36</v>
      </c>
      <c r="D11" s="3" t="s">
        <v>37</v>
      </c>
      <c r="E11" s="40">
        <v>13</v>
      </c>
      <c r="F11" s="40" t="s">
        <v>12</v>
      </c>
      <c r="G11" s="40">
        <v>2</v>
      </c>
    </row>
    <row r="12" spans="1:7" ht="50.1" customHeight="1" x14ac:dyDescent="0.25">
      <c r="A12" s="41" t="s">
        <v>38</v>
      </c>
      <c r="B12" s="41" t="s">
        <v>39</v>
      </c>
      <c r="C12" s="4" t="s">
        <v>40</v>
      </c>
      <c r="D12" s="4" t="s">
        <v>41</v>
      </c>
      <c r="E12" s="41">
        <v>8</v>
      </c>
      <c r="F12" s="41" t="s">
        <v>42</v>
      </c>
      <c r="G12" s="41">
        <v>3</v>
      </c>
    </row>
    <row r="13" spans="1:7" ht="50.1" customHeight="1" x14ac:dyDescent="0.25">
      <c r="A13" s="41" t="s">
        <v>38</v>
      </c>
      <c r="B13" s="41" t="s">
        <v>43</v>
      </c>
      <c r="C13" s="4" t="s">
        <v>44</v>
      </c>
      <c r="D13" s="4" t="s">
        <v>45</v>
      </c>
      <c r="E13" s="41">
        <v>8</v>
      </c>
      <c r="F13" s="41" t="s">
        <v>42</v>
      </c>
      <c r="G13" s="41">
        <v>3</v>
      </c>
    </row>
    <row r="14" spans="1:7" ht="50.1" customHeight="1" x14ac:dyDescent="0.25">
      <c r="A14" s="41" t="s">
        <v>38</v>
      </c>
      <c r="B14" s="41" t="s">
        <v>46</v>
      </c>
      <c r="C14" s="4" t="s">
        <v>47</v>
      </c>
      <c r="D14" s="4" t="s">
        <v>48</v>
      </c>
      <c r="E14" s="41">
        <v>5</v>
      </c>
      <c r="F14" s="41" t="s">
        <v>42</v>
      </c>
      <c r="G14" s="41">
        <v>3</v>
      </c>
    </row>
    <row r="15" spans="1:7" ht="50.1" customHeight="1" x14ac:dyDescent="0.25">
      <c r="A15" s="42" t="s">
        <v>49</v>
      </c>
      <c r="B15" s="42" t="s">
        <v>50</v>
      </c>
      <c r="C15" s="5" t="s">
        <v>51</v>
      </c>
      <c r="D15" s="5" t="s">
        <v>52</v>
      </c>
      <c r="E15" s="42">
        <v>13</v>
      </c>
      <c r="F15" s="42" t="s">
        <v>53</v>
      </c>
      <c r="G15" s="42">
        <v>3</v>
      </c>
    </row>
    <row r="16" spans="1:7" ht="50.1" customHeight="1" x14ac:dyDescent="0.25">
      <c r="A16" s="42" t="s">
        <v>49</v>
      </c>
      <c r="B16" s="42" t="s">
        <v>54</v>
      </c>
      <c r="C16" s="5" t="s">
        <v>55</v>
      </c>
      <c r="D16" s="5" t="s">
        <v>56</v>
      </c>
      <c r="E16" s="42">
        <v>8</v>
      </c>
      <c r="F16" s="42" t="s">
        <v>53</v>
      </c>
      <c r="G16" s="42">
        <v>4</v>
      </c>
    </row>
    <row r="17" spans="1:7" ht="50.1" customHeight="1" x14ac:dyDescent="0.25">
      <c r="A17" s="42" t="s">
        <v>49</v>
      </c>
      <c r="B17" s="42" t="s">
        <v>57</v>
      </c>
      <c r="C17" s="5" t="s">
        <v>58</v>
      </c>
      <c r="D17" s="5" t="s">
        <v>59</v>
      </c>
      <c r="E17" s="42">
        <v>5</v>
      </c>
      <c r="F17" s="42" t="s">
        <v>53</v>
      </c>
      <c r="G17" s="42">
        <v>4</v>
      </c>
    </row>
    <row r="18" spans="1:7" ht="50.1" customHeight="1" x14ac:dyDescent="0.25">
      <c r="A18" s="43" t="s">
        <v>60</v>
      </c>
      <c r="B18" s="43" t="s">
        <v>61</v>
      </c>
      <c r="C18" s="6" t="s">
        <v>62</v>
      </c>
      <c r="D18" s="6" t="s">
        <v>63</v>
      </c>
      <c r="E18" s="43">
        <v>8</v>
      </c>
      <c r="F18" s="43" t="s">
        <v>64</v>
      </c>
      <c r="G18" s="43">
        <v>4</v>
      </c>
    </row>
    <row r="19" spans="1:7" ht="50.1" customHeight="1" x14ac:dyDescent="0.25">
      <c r="A19" s="43" t="s">
        <v>60</v>
      </c>
      <c r="B19" s="43" t="s">
        <v>65</v>
      </c>
      <c r="C19" s="6" t="s">
        <v>66</v>
      </c>
      <c r="D19" s="6" t="s">
        <v>67</v>
      </c>
      <c r="E19" s="43">
        <v>8</v>
      </c>
      <c r="F19" s="43" t="s">
        <v>64</v>
      </c>
      <c r="G19" s="43">
        <v>4</v>
      </c>
    </row>
    <row r="20" spans="1:7" ht="18" customHeight="1" x14ac:dyDescent="0.25">
      <c r="A20" s="44" t="s">
        <v>68</v>
      </c>
      <c r="B20" s="45"/>
      <c r="C20" s="45"/>
      <c r="D20" s="45"/>
      <c r="E20" s="46">
        <f>SUM(E3:E19)</f>
        <v>131</v>
      </c>
      <c r="F20" s="47"/>
      <c r="G20" s="47"/>
    </row>
  </sheetData>
  <mergeCells count="2">
    <mergeCell ref="A20:D20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G17" sqref="G17"/>
    </sheetView>
  </sheetViews>
  <sheetFormatPr baseColWidth="10" defaultColWidth="9.140625" defaultRowHeight="15" x14ac:dyDescent="0.25"/>
  <cols>
    <col min="1" max="1" width="28" customWidth="1"/>
    <col min="2" max="2" width="12" customWidth="1"/>
    <col min="3" max="4" width="20" customWidth="1"/>
    <col min="5" max="5" width="22" customWidth="1"/>
  </cols>
  <sheetData>
    <row r="1" spans="1:5" ht="21.95" customHeight="1" x14ac:dyDescent="0.25">
      <c r="A1" s="10" t="s">
        <v>69</v>
      </c>
      <c r="B1" s="11"/>
      <c r="C1" s="11"/>
      <c r="D1" s="11"/>
      <c r="E1" s="11"/>
    </row>
    <row r="2" spans="1:5" ht="18" customHeight="1" x14ac:dyDescent="0.25">
      <c r="A2" s="12" t="s">
        <v>70</v>
      </c>
      <c r="B2" s="11"/>
      <c r="C2" s="11"/>
      <c r="D2" s="11"/>
      <c r="E2" s="11"/>
    </row>
    <row r="3" spans="1:5" ht="15.95" customHeight="1" x14ac:dyDescent="0.25">
      <c r="A3" s="13" t="s">
        <v>71</v>
      </c>
      <c r="B3" s="14" t="s">
        <v>72</v>
      </c>
      <c r="C3" s="15"/>
      <c r="D3" s="15"/>
      <c r="E3" s="15"/>
    </row>
    <row r="4" spans="1:5" ht="15.95" customHeight="1" x14ac:dyDescent="0.25">
      <c r="A4" s="13" t="s">
        <v>73</v>
      </c>
      <c r="B4" s="14" t="s">
        <v>74</v>
      </c>
      <c r="C4" s="15"/>
      <c r="D4" s="15"/>
      <c r="E4" s="15"/>
    </row>
    <row r="5" spans="1:5" ht="15.95" customHeight="1" x14ac:dyDescent="0.25">
      <c r="A5" s="13" t="s">
        <v>75</v>
      </c>
      <c r="B5" s="14" t="s">
        <v>76</v>
      </c>
      <c r="C5" s="15"/>
      <c r="D5" s="15"/>
      <c r="E5" s="15"/>
    </row>
    <row r="6" spans="1:5" ht="15.95" customHeight="1" x14ac:dyDescent="0.25">
      <c r="A6" s="13" t="s">
        <v>77</v>
      </c>
      <c r="B6" s="14" t="s">
        <v>78</v>
      </c>
      <c r="C6" s="15"/>
      <c r="D6" s="15"/>
      <c r="E6" s="15"/>
    </row>
    <row r="7" spans="1:5" ht="15.95" customHeight="1" x14ac:dyDescent="0.25">
      <c r="A7" s="13" t="s">
        <v>79</v>
      </c>
      <c r="B7" s="14" t="s">
        <v>80</v>
      </c>
      <c r="C7" s="15"/>
      <c r="D7" s="15"/>
      <c r="E7" s="15"/>
    </row>
    <row r="8" spans="1:5" ht="18" customHeight="1" x14ac:dyDescent="0.25">
      <c r="A8" s="12" t="s">
        <v>81</v>
      </c>
      <c r="B8" s="11"/>
      <c r="C8" s="11"/>
      <c r="D8" s="11"/>
      <c r="E8" s="11"/>
    </row>
    <row r="9" spans="1:5" ht="18" customHeight="1" x14ac:dyDescent="0.25">
      <c r="A9" s="7" t="s">
        <v>82</v>
      </c>
      <c r="B9" s="7" t="s">
        <v>83</v>
      </c>
      <c r="C9" s="32" t="s">
        <v>84</v>
      </c>
      <c r="D9" s="32" t="s">
        <v>85</v>
      </c>
      <c r="E9" s="7" t="s">
        <v>86</v>
      </c>
    </row>
    <row r="10" spans="1:5" ht="15.95" customHeight="1" x14ac:dyDescent="0.25">
      <c r="A10" s="16" t="s">
        <v>87</v>
      </c>
      <c r="B10" s="17">
        <v>1</v>
      </c>
      <c r="C10" s="18">
        <v>7500000</v>
      </c>
      <c r="D10" s="18">
        <f>C10/2*B10</f>
        <v>3750000</v>
      </c>
      <c r="E10" s="16" t="s">
        <v>88</v>
      </c>
    </row>
    <row r="11" spans="1:5" ht="15.95" customHeight="1" x14ac:dyDescent="0.25">
      <c r="A11" s="19" t="s">
        <v>89</v>
      </c>
      <c r="B11" s="20">
        <v>2</v>
      </c>
      <c r="C11" s="21">
        <v>5500000</v>
      </c>
      <c r="D11" s="18">
        <f t="shared" ref="D11:D15" si="0">C11/2*B11</f>
        <v>5500000</v>
      </c>
      <c r="E11" s="19" t="s">
        <v>90</v>
      </c>
    </row>
    <row r="12" spans="1:5" ht="15.95" customHeight="1" x14ac:dyDescent="0.25">
      <c r="A12" s="16" t="s">
        <v>91</v>
      </c>
      <c r="B12" s="17">
        <v>1</v>
      </c>
      <c r="C12" s="18">
        <v>5000000</v>
      </c>
      <c r="D12" s="18">
        <f t="shared" si="0"/>
        <v>2500000</v>
      </c>
      <c r="E12" s="16" t="s">
        <v>92</v>
      </c>
    </row>
    <row r="13" spans="1:5" ht="15.95" customHeight="1" x14ac:dyDescent="0.25">
      <c r="A13" s="19" t="s">
        <v>93</v>
      </c>
      <c r="B13" s="20">
        <v>1</v>
      </c>
      <c r="C13" s="21">
        <v>3500000</v>
      </c>
      <c r="D13" s="18">
        <f t="shared" si="0"/>
        <v>1750000</v>
      </c>
      <c r="E13" s="19" t="s">
        <v>94</v>
      </c>
    </row>
    <row r="14" spans="1:5" ht="15.95" customHeight="1" x14ac:dyDescent="0.25">
      <c r="A14" s="16" t="s">
        <v>95</v>
      </c>
      <c r="B14" s="17">
        <v>1</v>
      </c>
      <c r="C14" s="18">
        <v>5000000</v>
      </c>
      <c r="D14" s="18">
        <f t="shared" si="0"/>
        <v>2500000</v>
      </c>
      <c r="E14" s="16" t="s">
        <v>96</v>
      </c>
    </row>
    <row r="15" spans="1:5" ht="15.95" customHeight="1" x14ac:dyDescent="0.25">
      <c r="A15" s="19" t="s">
        <v>97</v>
      </c>
      <c r="B15" s="20">
        <v>1</v>
      </c>
      <c r="C15" s="21">
        <v>4000000</v>
      </c>
      <c r="D15" s="18">
        <f t="shared" si="0"/>
        <v>2000000</v>
      </c>
      <c r="E15" s="19" t="s">
        <v>98</v>
      </c>
    </row>
    <row r="16" spans="1:5" ht="18" customHeight="1" x14ac:dyDescent="0.25">
      <c r="A16" s="22" t="s">
        <v>99</v>
      </c>
      <c r="B16" s="23"/>
      <c r="C16" s="23"/>
      <c r="D16" s="24">
        <f>SUM(D10:D15)</f>
        <v>18000000</v>
      </c>
      <c r="E16" s="25"/>
    </row>
    <row r="17" spans="1:5" x14ac:dyDescent="0.25">
      <c r="A17" s="26"/>
      <c r="B17" s="26"/>
      <c r="C17" s="26"/>
      <c r="D17" s="26"/>
      <c r="E17" s="26"/>
    </row>
    <row r="18" spans="1:5" ht="18" customHeight="1" x14ac:dyDescent="0.25">
      <c r="A18" s="12" t="s">
        <v>100</v>
      </c>
      <c r="B18" s="11"/>
      <c r="C18" s="11"/>
      <c r="D18" s="11"/>
      <c r="E18" s="11"/>
    </row>
    <row r="19" spans="1:5" ht="18" customHeight="1" x14ac:dyDescent="0.25">
      <c r="A19" s="7" t="s">
        <v>101</v>
      </c>
      <c r="B19" s="7" t="s">
        <v>102</v>
      </c>
      <c r="C19" s="7" t="s">
        <v>103</v>
      </c>
      <c r="D19" s="7"/>
      <c r="E19" s="7"/>
    </row>
    <row r="20" spans="1:5" ht="15.95" customHeight="1" x14ac:dyDescent="0.25">
      <c r="A20" s="16" t="s">
        <v>104</v>
      </c>
      <c r="B20" s="17" t="s">
        <v>105</v>
      </c>
      <c r="C20" s="18">
        <v>800000</v>
      </c>
      <c r="D20" s="27"/>
      <c r="E20" s="27"/>
    </row>
    <row r="21" spans="1:5" ht="15.95" customHeight="1" x14ac:dyDescent="0.25">
      <c r="A21" s="19" t="s">
        <v>106</v>
      </c>
      <c r="B21" s="20" t="s">
        <v>107</v>
      </c>
      <c r="C21" s="21">
        <v>400000</v>
      </c>
      <c r="D21" s="28"/>
      <c r="E21" s="28"/>
    </row>
    <row r="22" spans="1:5" ht="15.95" customHeight="1" x14ac:dyDescent="0.25">
      <c r="A22" s="16" t="s">
        <v>108</v>
      </c>
      <c r="B22" s="17" t="s">
        <v>109</v>
      </c>
      <c r="C22" s="18">
        <v>150000</v>
      </c>
      <c r="D22" s="27"/>
      <c r="E22" s="27"/>
    </row>
    <row r="23" spans="1:5" ht="15.95" customHeight="1" x14ac:dyDescent="0.25">
      <c r="A23" s="19" t="s">
        <v>110</v>
      </c>
      <c r="B23" s="20" t="s">
        <v>111</v>
      </c>
      <c r="C23" s="21">
        <v>120000</v>
      </c>
      <c r="D23" s="28"/>
      <c r="E23" s="28"/>
    </row>
    <row r="24" spans="1:5" ht="15.95" customHeight="1" x14ac:dyDescent="0.25">
      <c r="A24" s="16" t="s">
        <v>112</v>
      </c>
      <c r="B24" s="17" t="s">
        <v>113</v>
      </c>
      <c r="C24" s="18">
        <v>200000</v>
      </c>
      <c r="D24" s="27"/>
      <c r="E24" s="27"/>
    </row>
    <row r="25" spans="1:5" ht="18" customHeight="1" x14ac:dyDescent="0.25">
      <c r="A25" s="22" t="s">
        <v>114</v>
      </c>
      <c r="B25" s="23"/>
      <c r="C25" s="24">
        <f>SUM(C20:C24)</f>
        <v>1670000</v>
      </c>
      <c r="D25" s="25"/>
      <c r="E25" s="25"/>
    </row>
    <row r="26" spans="1:5" x14ac:dyDescent="0.25">
      <c r="A26" s="26"/>
      <c r="B26" s="26"/>
      <c r="C26" s="26"/>
      <c r="D26" s="26"/>
      <c r="E26" s="26"/>
    </row>
    <row r="27" spans="1:5" ht="18" customHeight="1" x14ac:dyDescent="0.25">
      <c r="A27" s="12" t="s">
        <v>115</v>
      </c>
      <c r="B27" s="11"/>
      <c r="C27" s="11"/>
      <c r="D27" s="11"/>
      <c r="E27" s="11"/>
    </row>
    <row r="28" spans="1:5" ht="18" customHeight="1" x14ac:dyDescent="0.25">
      <c r="A28" s="33" t="s">
        <v>116</v>
      </c>
      <c r="B28" s="34"/>
      <c r="C28" s="7" t="s">
        <v>117</v>
      </c>
      <c r="D28" s="7" t="s">
        <v>118</v>
      </c>
      <c r="E28" s="7" t="s">
        <v>119</v>
      </c>
    </row>
    <row r="29" spans="1:5" ht="15.95" customHeight="1" x14ac:dyDescent="0.25">
      <c r="A29" s="35" t="s">
        <v>120</v>
      </c>
      <c r="B29" s="36"/>
      <c r="C29" s="21">
        <f>D16*4</f>
        <v>72000000</v>
      </c>
      <c r="D29" s="21">
        <f>D16*3.5</f>
        <v>63000000</v>
      </c>
      <c r="E29" s="21">
        <f>D16*5</f>
        <v>90000000</v>
      </c>
    </row>
    <row r="30" spans="1:5" ht="15.95" customHeight="1" x14ac:dyDescent="0.25">
      <c r="A30" s="37" t="s">
        <v>121</v>
      </c>
      <c r="B30" s="38"/>
      <c r="C30" s="18">
        <f>C25*2</f>
        <v>3340000</v>
      </c>
      <c r="D30" s="18">
        <f>C25*2</f>
        <v>3340000</v>
      </c>
      <c r="E30" s="18">
        <f>C25*3</f>
        <v>5010000</v>
      </c>
    </row>
    <row r="31" spans="1:5" ht="21.95" customHeight="1" x14ac:dyDescent="0.25">
      <c r="A31" s="29" t="s">
        <v>122</v>
      </c>
      <c r="B31" s="30"/>
      <c r="C31" s="31">
        <f>SUM(C29:C30)</f>
        <v>75340000</v>
      </c>
      <c r="D31" s="31">
        <f>SUM(D29:D30)</f>
        <v>66340000</v>
      </c>
      <c r="E31" s="31">
        <f>SUM(E29:E30)</f>
        <v>95010000</v>
      </c>
    </row>
  </sheetData>
  <mergeCells count="11">
    <mergeCell ref="A2:E2"/>
    <mergeCell ref="A25:B25"/>
    <mergeCell ref="A1:E1"/>
    <mergeCell ref="A8:E8"/>
    <mergeCell ref="A31:B31"/>
    <mergeCell ref="A18:E18"/>
    <mergeCell ref="A16:C16"/>
    <mergeCell ref="A27:E27"/>
    <mergeCell ref="A28:B28"/>
    <mergeCell ref="A29:B29"/>
    <mergeCell ref="A30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JEISSON DAVID SANCHEZ GOMEZ</cp:lastModifiedBy>
  <dcterms:created xsi:type="dcterms:W3CDTF">2026-04-26T16:32:16Z</dcterms:created>
  <dcterms:modified xsi:type="dcterms:W3CDTF">2026-04-26T16:41:50Z</dcterms:modified>
</cp:coreProperties>
</file>